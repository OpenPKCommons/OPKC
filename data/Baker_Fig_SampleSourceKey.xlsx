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ndegenn/Dropbox (Personal)/Larremore_Lab/open-pk-commons/Eales96_H5N1_viral_kinetics-main/data/"/>
    </mc:Choice>
  </mc:AlternateContent>
  <xr:revisionPtr revIDLastSave="0" documentId="13_ncr:1_{4FE0B20C-B739-E74E-AAC9-8CB93D334224}" xr6:coauthVersionLast="47" xr6:coauthVersionMax="47" xr10:uidLastSave="{00000000-0000-0000-0000-000000000000}"/>
  <bookViews>
    <workbookView xWindow="59500" yWindow="-15280" windowWidth="30060" windowHeight="33220" xr2:uid="{EA7BBEDE-1055-EE4D-811D-816A5DF81F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2" i="1"/>
  <c r="E3" i="1"/>
  <c r="E4" i="1"/>
  <c r="E5" i="1"/>
  <c r="E6" i="1"/>
  <c r="E7" i="1"/>
  <c r="F7" i="1" s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2" i="1"/>
</calcChain>
</file>

<file path=xl/sharedStrings.xml><?xml version="1.0" encoding="utf-8"?>
<sst xmlns="http://schemas.openxmlformats.org/spreadsheetml/2006/main" count="200" uniqueCount="116">
  <si>
    <t>Baker_Sample</t>
  </si>
  <si>
    <t>Abdominal fluid</t>
  </si>
  <si>
    <t>Abomasum</t>
  </si>
  <si>
    <t>Blood</t>
  </si>
  <si>
    <t>Blood in MTM</t>
  </si>
  <si>
    <t>Brainstem</t>
  </si>
  <si>
    <t>Brisket (deep+superficial pectoral)</t>
  </si>
  <si>
    <t>Bronchoalveolar lavage fluid</t>
  </si>
  <si>
    <t>Cerebellum</t>
  </si>
  <si>
    <t>Cerebrum</t>
  </si>
  <si>
    <t>Conjunctiva</t>
  </si>
  <si>
    <t>Deep Nasal swab floq</t>
  </si>
  <si>
    <t>Deep Nasal swab proctology</t>
  </si>
  <si>
    <t>Descending colon</t>
  </si>
  <si>
    <t>Diaphragm</t>
  </si>
  <si>
    <t>Fecal swab</t>
  </si>
  <si>
    <t>Feces</t>
  </si>
  <si>
    <t>FS</t>
  </si>
  <si>
    <t>Heart</t>
  </si>
  <si>
    <t>Ileum</t>
  </si>
  <si>
    <t>Jejunum</t>
  </si>
  <si>
    <t>Kidney</t>
  </si>
  <si>
    <t>Left front milk fresh</t>
  </si>
  <si>
    <t>Left rear milk fresh</t>
  </si>
  <si>
    <t>Liver</t>
  </si>
  <si>
    <t>LN Inguinal</t>
  </si>
  <si>
    <t>LN Mandibular</t>
  </si>
  <si>
    <t>LN Mesenteric</t>
  </si>
  <si>
    <t>LN Parotid</t>
  </si>
  <si>
    <t>LN Popliteal</t>
  </si>
  <si>
    <t>LN Retropharyngeal</t>
  </si>
  <si>
    <t>LN Supramammary</t>
  </si>
  <si>
    <t>LN Tracheobronchial</t>
  </si>
  <si>
    <t>Lung Accessory lobe</t>
  </si>
  <si>
    <t>Lung Caudal left lobe</t>
  </si>
  <si>
    <t>Lung Caudal part left cranial lobe</t>
  </si>
  <si>
    <t>Lung Caudal part right cranial lobe</t>
  </si>
  <si>
    <t>Lung Caudal right lobe</t>
  </si>
  <si>
    <t>Lung Cranial part left cranial lobe</t>
  </si>
  <si>
    <t>Lung Cranial part right cranial lobe</t>
  </si>
  <si>
    <t>Lung Middle lobe</t>
  </si>
  <si>
    <t>Mammary Left front</t>
  </si>
  <si>
    <t>Mammary Left rear</t>
  </si>
  <si>
    <t>Mammary Right front</t>
  </si>
  <si>
    <t>Mammary Right rear</t>
  </si>
  <si>
    <t>Milk Bucket</t>
  </si>
  <si>
    <t>Milk FL</t>
  </si>
  <si>
    <t>Milk FR</t>
  </si>
  <si>
    <t>Milk RL</t>
  </si>
  <si>
    <t>Milk RR</t>
  </si>
  <si>
    <t>MTM</t>
  </si>
  <si>
    <t>Nasal Swab</t>
  </si>
  <si>
    <t>NS</t>
  </si>
  <si>
    <t>NSd</t>
  </si>
  <si>
    <t>Ocular fluid aqueous</t>
  </si>
  <si>
    <t>Ocular fluid vitreous</t>
  </si>
  <si>
    <t>Ocular swab</t>
  </si>
  <si>
    <t>Omasum</t>
  </si>
  <si>
    <t>OPS</t>
  </si>
  <si>
    <t>OPS Swab</t>
  </si>
  <si>
    <t>OPSf</t>
  </si>
  <si>
    <t>OS</t>
  </si>
  <si>
    <t>Pancreas</t>
  </si>
  <si>
    <t>Post-Decon Bucket</t>
  </si>
  <si>
    <t>Post-Decon Claw</t>
  </si>
  <si>
    <t>Pre-Decon Bucket</t>
  </si>
  <si>
    <t>Pre-Decon Claw</t>
  </si>
  <si>
    <t>Reticulum</t>
  </si>
  <si>
    <t>Right front milk fresh</t>
  </si>
  <si>
    <t>Right rear milk fresh</t>
  </si>
  <si>
    <t>Rumen</t>
  </si>
  <si>
    <t>Rumen content</t>
  </si>
  <si>
    <t>Rump (gluteus medius; minimus, biceps femoris)</t>
  </si>
  <si>
    <t>Saliva</t>
  </si>
  <si>
    <t>Spiral colon</t>
  </si>
  <si>
    <t>Spleen</t>
  </si>
  <si>
    <t>Tenderloin (psoas major)</t>
  </si>
  <si>
    <t>Thymus</t>
  </si>
  <si>
    <t>Trachea</t>
  </si>
  <si>
    <t>Tracheal swab</t>
  </si>
  <si>
    <t>Turbinate</t>
  </si>
  <si>
    <t>Urine</t>
  </si>
  <si>
    <t>Water</t>
  </si>
  <si>
    <t>OPKC_Sample</t>
  </si>
  <si>
    <t>Reformat</t>
  </si>
  <si>
    <t>Clarification</t>
  </si>
  <si>
    <t>Blood in molec transport med</t>
  </si>
  <si>
    <t>Lymph Node lleocecal</t>
  </si>
  <si>
    <t>Lymph Node Inguinal</t>
  </si>
  <si>
    <t>Lymph Node Mandibular</t>
  </si>
  <si>
    <t>Lymph Node Mesenteric</t>
  </si>
  <si>
    <t>Lymph Node Parotid</t>
  </si>
  <si>
    <t>Lymph Node Popliteal</t>
  </si>
  <si>
    <t>Lymph Node Retropharyngeal</t>
  </si>
  <si>
    <t>Lymph Node Supramammary</t>
  </si>
  <si>
    <t>Lymph Node Tracheobronchial</t>
  </si>
  <si>
    <t>Molecular Transport Medium</t>
  </si>
  <si>
    <t>Nasal Discharge</t>
  </si>
  <si>
    <t>Oropharyngeal swab cotton</t>
  </si>
  <si>
    <t>Oropharyngeal swab</t>
  </si>
  <si>
    <t>Oropharyngeal swab FLOQ</t>
  </si>
  <si>
    <t>antemortem sample</t>
  </si>
  <si>
    <t>clinical sample</t>
  </si>
  <si>
    <t>SampleMethod</t>
  </si>
  <si>
    <t>milk sample</t>
  </si>
  <si>
    <t>milker equipment sample</t>
  </si>
  <si>
    <t>Rump</t>
  </si>
  <si>
    <t>Psoas major</t>
  </si>
  <si>
    <t>Milk Front Left Teat</t>
  </si>
  <si>
    <t>Milk Front Right Teat</t>
  </si>
  <si>
    <t>Milk Rear Left Teat</t>
  </si>
  <si>
    <t>Milk Rear Right Teat</t>
  </si>
  <si>
    <t>Deep+superficial pectoral</t>
  </si>
  <si>
    <t>Reformat_Clarification</t>
  </si>
  <si>
    <t>OPKC_SampleSource_Code</t>
  </si>
  <si>
    <t>LN Ileocecal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</si>
</sst>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64B1-D7E0-A446-8F0F-A5585BAFE97E}">
  <dimension ref="A1:G85"/>
  <sheetViews>
    <sheetView tabSelected="1" workbookViewId="0">
      <selection activeCell="A27" sqref="A27"/>
    </sheetView>
  </sheetViews>
  <sheetFormatPr baseColWidth="10" defaultRowHeight="16" x14ac:dyDescent="0.2"/>
  <cols>
    <col min="1" max="1" width="40.5" bestFit="1" customWidth="1"/>
    <col min="2" max="2" width="23.5" customWidth="1"/>
    <col min="3" max="3" width="25.83203125" bestFit="1" customWidth="1"/>
    <col min="4" max="4" width="43.1640625" bestFit="1" customWidth="1"/>
    <col min="5" max="5" width="27.1640625" bestFit="1" customWidth="1"/>
    <col min="6" max="6" width="31.83203125" bestFit="1" customWidth="1"/>
    <col min="7" max="7" width="15.33203125" bestFit="1" customWidth="1"/>
  </cols>
  <sheetData>
    <row r="1" spans="1:7" x14ac:dyDescent="0.2">
      <c r="A1" t="s">
        <v>0</v>
      </c>
      <c r="B1" t="s">
        <v>103</v>
      </c>
      <c r="C1" t="s">
        <v>85</v>
      </c>
      <c r="D1" t="s">
        <v>84</v>
      </c>
      <c r="E1" t="s">
        <v>113</v>
      </c>
      <c r="F1" t="s">
        <v>83</v>
      </c>
      <c r="G1" t="s">
        <v>114</v>
      </c>
    </row>
    <row r="2" spans="1:7" x14ac:dyDescent="0.2">
      <c r="A2" t="s">
        <v>1</v>
      </c>
      <c r="B2" t="s">
        <v>101</v>
      </c>
      <c r="D2" t="str">
        <f>SUBSTITUTE(A2," ","_")</f>
        <v>Abdominal_fluid</v>
      </c>
      <c r="E2" t="str">
        <f>SUBSTITUTE(C2," ","_")</f>
        <v/>
      </c>
      <c r="F2" t="str">
        <f>IF(E2&lt;&gt;"",E2,D2)</f>
        <v>Abdominal_fluid</v>
      </c>
      <c r="G2">
        <v>1</v>
      </c>
    </row>
    <row r="3" spans="1:7" x14ac:dyDescent="0.2">
      <c r="A3" t="s">
        <v>2</v>
      </c>
      <c r="B3" t="s">
        <v>101</v>
      </c>
      <c r="D3" t="str">
        <f t="shared" ref="D3:D66" si="0">SUBSTITUTE(A3," ","_")</f>
        <v>Abomasum</v>
      </c>
      <c r="E3" t="str">
        <f t="shared" ref="E3:E66" si="1">SUBSTITUTE(C3," ","_")</f>
        <v/>
      </c>
      <c r="F3" t="str">
        <f t="shared" ref="F3:F66" si="2">IF(E3&lt;&gt;"",E3,D3)</f>
        <v>Abomasum</v>
      </c>
      <c r="G3">
        <v>2</v>
      </c>
    </row>
    <row r="4" spans="1:7" x14ac:dyDescent="0.2">
      <c r="A4" t="s">
        <v>3</v>
      </c>
      <c r="B4" s="1" t="s">
        <v>102</v>
      </c>
      <c r="D4" t="str">
        <f t="shared" si="0"/>
        <v>Blood</v>
      </c>
      <c r="E4" t="str">
        <f t="shared" si="1"/>
        <v/>
      </c>
      <c r="F4" t="str">
        <f t="shared" si="2"/>
        <v>Blood</v>
      </c>
      <c r="G4">
        <v>3</v>
      </c>
    </row>
    <row r="5" spans="1:7" x14ac:dyDescent="0.2">
      <c r="A5" t="s">
        <v>4</v>
      </c>
      <c r="B5" t="s">
        <v>101</v>
      </c>
      <c r="C5" t="s">
        <v>86</v>
      </c>
      <c r="D5" t="str">
        <f t="shared" si="0"/>
        <v>Blood_in_MTM</v>
      </c>
      <c r="E5" t="str">
        <f t="shared" si="1"/>
        <v>Blood_in_molec_transport_med</v>
      </c>
      <c r="F5" t="str">
        <f t="shared" si="2"/>
        <v>Blood_in_molec_transport_med</v>
      </c>
      <c r="G5">
        <v>4</v>
      </c>
    </row>
    <row r="6" spans="1:7" x14ac:dyDescent="0.2">
      <c r="A6" t="s">
        <v>5</v>
      </c>
      <c r="B6" t="s">
        <v>101</v>
      </c>
      <c r="D6" t="str">
        <f t="shared" si="0"/>
        <v>Brainstem</v>
      </c>
      <c r="E6" t="str">
        <f t="shared" si="1"/>
        <v/>
      </c>
      <c r="F6" t="str">
        <f t="shared" si="2"/>
        <v>Brainstem</v>
      </c>
      <c r="G6">
        <v>5</v>
      </c>
    </row>
    <row r="7" spans="1:7" x14ac:dyDescent="0.2">
      <c r="A7" t="s">
        <v>6</v>
      </c>
      <c r="B7" t="s">
        <v>101</v>
      </c>
      <c r="C7" t="s">
        <v>112</v>
      </c>
      <c r="D7" t="str">
        <f t="shared" si="0"/>
        <v>Brisket_(deep+superficial_pectoral)</v>
      </c>
      <c r="E7" t="str">
        <f t="shared" si="1"/>
        <v>Deep+superficial_pectoral</v>
      </c>
      <c r="F7" t="str">
        <f t="shared" si="2"/>
        <v>Deep+superficial_pectoral</v>
      </c>
      <c r="G7">
        <v>6</v>
      </c>
    </row>
    <row r="8" spans="1:7" x14ac:dyDescent="0.2">
      <c r="A8" t="s">
        <v>7</v>
      </c>
      <c r="B8" t="s">
        <v>101</v>
      </c>
      <c r="D8" t="str">
        <f t="shared" si="0"/>
        <v>Bronchoalveolar_lavage_fluid</v>
      </c>
      <c r="E8" t="str">
        <f t="shared" si="1"/>
        <v/>
      </c>
      <c r="F8" t="str">
        <f t="shared" si="2"/>
        <v>Bronchoalveolar_lavage_fluid</v>
      </c>
      <c r="G8">
        <v>7</v>
      </c>
    </row>
    <row r="9" spans="1:7" x14ac:dyDescent="0.2">
      <c r="A9" t="s">
        <v>8</v>
      </c>
      <c r="B9" t="s">
        <v>101</v>
      </c>
      <c r="D9" t="str">
        <f t="shared" si="0"/>
        <v>Cerebellum</v>
      </c>
      <c r="E9" t="str">
        <f t="shared" si="1"/>
        <v/>
      </c>
      <c r="F9" t="str">
        <f t="shared" si="2"/>
        <v>Cerebellum</v>
      </c>
      <c r="G9">
        <v>8</v>
      </c>
    </row>
    <row r="10" spans="1:7" x14ac:dyDescent="0.2">
      <c r="A10" t="s">
        <v>9</v>
      </c>
      <c r="B10" t="s">
        <v>101</v>
      </c>
      <c r="D10" t="str">
        <f t="shared" si="0"/>
        <v>Cerebrum</v>
      </c>
      <c r="E10" t="str">
        <f t="shared" si="1"/>
        <v/>
      </c>
      <c r="F10" t="str">
        <f t="shared" si="2"/>
        <v>Cerebrum</v>
      </c>
      <c r="G10">
        <v>9</v>
      </c>
    </row>
    <row r="11" spans="1:7" x14ac:dyDescent="0.2">
      <c r="A11" t="s">
        <v>10</v>
      </c>
      <c r="B11" t="s">
        <v>101</v>
      </c>
      <c r="D11" t="str">
        <f t="shared" si="0"/>
        <v>Conjunctiva</v>
      </c>
      <c r="E11" t="str">
        <f t="shared" si="1"/>
        <v/>
      </c>
      <c r="F11" t="str">
        <f t="shared" si="2"/>
        <v>Conjunctiva</v>
      </c>
      <c r="G11">
        <v>10</v>
      </c>
    </row>
    <row r="12" spans="1:7" x14ac:dyDescent="0.2">
      <c r="A12" t="s">
        <v>11</v>
      </c>
      <c r="B12" t="s">
        <v>101</v>
      </c>
      <c r="D12" t="str">
        <f t="shared" si="0"/>
        <v>Deep_Nasal_swab_floq</v>
      </c>
      <c r="E12" t="str">
        <f t="shared" si="1"/>
        <v/>
      </c>
      <c r="F12" t="str">
        <f t="shared" si="2"/>
        <v>Deep_Nasal_swab_floq</v>
      </c>
      <c r="G12">
        <v>11</v>
      </c>
    </row>
    <row r="13" spans="1:7" x14ac:dyDescent="0.2">
      <c r="A13" t="s">
        <v>12</v>
      </c>
      <c r="B13" t="s">
        <v>101</v>
      </c>
      <c r="D13" t="str">
        <f t="shared" si="0"/>
        <v>Deep_Nasal_swab_proctology</v>
      </c>
      <c r="E13" t="str">
        <f t="shared" si="1"/>
        <v/>
      </c>
      <c r="F13" t="str">
        <f t="shared" si="2"/>
        <v>Deep_Nasal_swab_proctology</v>
      </c>
      <c r="G13">
        <v>12</v>
      </c>
    </row>
    <row r="14" spans="1:7" x14ac:dyDescent="0.2">
      <c r="A14" t="s">
        <v>13</v>
      </c>
      <c r="B14" t="s">
        <v>101</v>
      </c>
      <c r="D14" t="str">
        <f t="shared" si="0"/>
        <v>Descending_colon</v>
      </c>
      <c r="E14" t="str">
        <f t="shared" si="1"/>
        <v/>
      </c>
      <c r="F14" t="str">
        <f t="shared" si="2"/>
        <v>Descending_colon</v>
      </c>
      <c r="G14">
        <v>13</v>
      </c>
    </row>
    <row r="15" spans="1:7" x14ac:dyDescent="0.2">
      <c r="A15" t="s">
        <v>14</v>
      </c>
      <c r="B15" t="s">
        <v>101</v>
      </c>
      <c r="D15" t="str">
        <f t="shared" si="0"/>
        <v>Diaphragm</v>
      </c>
      <c r="E15" t="str">
        <f t="shared" si="1"/>
        <v/>
      </c>
      <c r="F15" t="str">
        <f t="shared" si="2"/>
        <v>Diaphragm</v>
      </c>
      <c r="G15">
        <v>14</v>
      </c>
    </row>
    <row r="16" spans="1:7" x14ac:dyDescent="0.2">
      <c r="A16" t="s">
        <v>15</v>
      </c>
      <c r="B16" t="s">
        <v>101</v>
      </c>
      <c r="D16" t="str">
        <f t="shared" si="0"/>
        <v>Fecal_swab</v>
      </c>
      <c r="E16" t="str">
        <f t="shared" si="1"/>
        <v/>
      </c>
      <c r="F16" t="str">
        <f t="shared" si="2"/>
        <v>Fecal_swab</v>
      </c>
      <c r="G16">
        <v>15</v>
      </c>
    </row>
    <row r="17" spans="1:7" x14ac:dyDescent="0.2">
      <c r="A17" t="s">
        <v>16</v>
      </c>
      <c r="B17" t="s">
        <v>101</v>
      </c>
      <c r="D17" t="str">
        <f t="shared" si="0"/>
        <v>Feces</v>
      </c>
      <c r="E17" t="str">
        <f t="shared" si="1"/>
        <v/>
      </c>
      <c r="F17" t="str">
        <f t="shared" si="2"/>
        <v>Feces</v>
      </c>
      <c r="G17">
        <v>16</v>
      </c>
    </row>
    <row r="18" spans="1:7" x14ac:dyDescent="0.2">
      <c r="A18" t="s">
        <v>17</v>
      </c>
      <c r="B18" t="s">
        <v>102</v>
      </c>
      <c r="C18" t="s">
        <v>15</v>
      </c>
      <c r="D18" t="str">
        <f t="shared" si="0"/>
        <v>FS</v>
      </c>
      <c r="E18" t="str">
        <f t="shared" si="1"/>
        <v>Fecal_swab</v>
      </c>
      <c r="F18" t="str">
        <f t="shared" si="2"/>
        <v>Fecal_swab</v>
      </c>
      <c r="G18">
        <v>17</v>
      </c>
    </row>
    <row r="19" spans="1:7" x14ac:dyDescent="0.2">
      <c r="A19" t="s">
        <v>18</v>
      </c>
      <c r="B19" t="s">
        <v>101</v>
      </c>
      <c r="D19" t="str">
        <f t="shared" si="0"/>
        <v>Heart</v>
      </c>
      <c r="E19" t="str">
        <f t="shared" si="1"/>
        <v/>
      </c>
      <c r="F19" t="str">
        <f t="shared" si="2"/>
        <v>Heart</v>
      </c>
      <c r="G19">
        <v>18</v>
      </c>
    </row>
    <row r="20" spans="1:7" x14ac:dyDescent="0.2">
      <c r="A20" t="s">
        <v>19</v>
      </c>
      <c r="B20" t="s">
        <v>101</v>
      </c>
      <c r="D20" t="str">
        <f t="shared" si="0"/>
        <v>Ileum</v>
      </c>
      <c r="E20" t="str">
        <f t="shared" si="1"/>
        <v/>
      </c>
      <c r="F20" t="str">
        <f t="shared" si="2"/>
        <v>Ileum</v>
      </c>
      <c r="G20">
        <v>19</v>
      </c>
    </row>
    <row r="21" spans="1:7" x14ac:dyDescent="0.2">
      <c r="A21" t="s">
        <v>20</v>
      </c>
      <c r="B21" t="s">
        <v>101</v>
      </c>
      <c r="D21" t="str">
        <f t="shared" si="0"/>
        <v>Jejunum</v>
      </c>
      <c r="E21" t="str">
        <f t="shared" si="1"/>
        <v/>
      </c>
      <c r="F21" t="str">
        <f t="shared" si="2"/>
        <v>Jejunum</v>
      </c>
      <c r="G21">
        <v>20</v>
      </c>
    </row>
    <row r="22" spans="1:7" x14ac:dyDescent="0.2">
      <c r="A22" t="s">
        <v>21</v>
      </c>
      <c r="B22" t="s">
        <v>101</v>
      </c>
      <c r="D22" t="str">
        <f t="shared" si="0"/>
        <v>Kidney</v>
      </c>
      <c r="E22" t="str">
        <f t="shared" si="1"/>
        <v/>
      </c>
      <c r="F22" t="str">
        <f t="shared" si="2"/>
        <v>Kidney</v>
      </c>
      <c r="G22">
        <v>21</v>
      </c>
    </row>
    <row r="23" spans="1:7" x14ac:dyDescent="0.2">
      <c r="A23" t="s">
        <v>22</v>
      </c>
      <c r="B23" t="s">
        <v>101</v>
      </c>
      <c r="D23" t="str">
        <f t="shared" si="0"/>
        <v>Left_front_milk_fresh</v>
      </c>
      <c r="E23" t="str">
        <f t="shared" si="1"/>
        <v/>
      </c>
      <c r="F23" t="str">
        <f t="shared" si="2"/>
        <v>Left_front_milk_fresh</v>
      </c>
      <c r="G23">
        <v>22</v>
      </c>
    </row>
    <row r="24" spans="1:7" x14ac:dyDescent="0.2">
      <c r="A24" t="s">
        <v>23</v>
      </c>
      <c r="B24" t="s">
        <v>101</v>
      </c>
      <c r="D24" t="str">
        <f t="shared" si="0"/>
        <v>Left_rear_milk_fresh</v>
      </c>
      <c r="E24" t="str">
        <f t="shared" si="1"/>
        <v/>
      </c>
      <c r="F24" t="str">
        <f t="shared" si="2"/>
        <v>Left_rear_milk_fresh</v>
      </c>
      <c r="G24">
        <v>23</v>
      </c>
    </row>
    <row r="25" spans="1:7" x14ac:dyDescent="0.2">
      <c r="A25" t="s">
        <v>24</v>
      </c>
      <c r="B25" t="s">
        <v>101</v>
      </c>
      <c r="D25" t="str">
        <f t="shared" si="0"/>
        <v>Liver</v>
      </c>
      <c r="E25" t="str">
        <f t="shared" si="1"/>
        <v/>
      </c>
      <c r="F25" t="str">
        <f t="shared" si="2"/>
        <v>Liver</v>
      </c>
      <c r="G25">
        <v>24</v>
      </c>
    </row>
    <row r="26" spans="1:7" x14ac:dyDescent="0.2">
      <c r="A26" t="s">
        <v>115</v>
      </c>
      <c r="B26" t="s">
        <v>101</v>
      </c>
      <c r="C26" t="s">
        <v>87</v>
      </c>
      <c r="D26" t="str">
        <f t="shared" si="0"/>
        <v>LN_Ileocecal</v>
      </c>
      <c r="E26" t="str">
        <f t="shared" si="1"/>
        <v>Lymph_Node_lleocecal</v>
      </c>
      <c r="F26" t="str">
        <f t="shared" si="2"/>
        <v>Lymph_Node_lleocecal</v>
      </c>
      <c r="G26">
        <v>25</v>
      </c>
    </row>
    <row r="27" spans="1:7" x14ac:dyDescent="0.2">
      <c r="A27" t="s">
        <v>25</v>
      </c>
      <c r="B27" t="s">
        <v>101</v>
      </c>
      <c r="C27" t="s">
        <v>88</v>
      </c>
      <c r="D27" t="str">
        <f t="shared" si="0"/>
        <v>LN_Inguinal</v>
      </c>
      <c r="E27" t="str">
        <f t="shared" si="1"/>
        <v>Lymph_Node_Inguinal</v>
      </c>
      <c r="F27" t="str">
        <f t="shared" si="2"/>
        <v>Lymph_Node_Inguinal</v>
      </c>
      <c r="G27">
        <v>26</v>
      </c>
    </row>
    <row r="28" spans="1:7" x14ac:dyDescent="0.2">
      <c r="A28" t="s">
        <v>26</v>
      </c>
      <c r="B28" t="s">
        <v>101</v>
      </c>
      <c r="C28" t="s">
        <v>89</v>
      </c>
      <c r="D28" t="str">
        <f t="shared" si="0"/>
        <v>LN_Mandibular</v>
      </c>
      <c r="E28" t="str">
        <f t="shared" si="1"/>
        <v>Lymph_Node_Mandibular</v>
      </c>
      <c r="F28" t="str">
        <f t="shared" si="2"/>
        <v>Lymph_Node_Mandibular</v>
      </c>
      <c r="G28">
        <v>27</v>
      </c>
    </row>
    <row r="29" spans="1:7" x14ac:dyDescent="0.2">
      <c r="A29" t="s">
        <v>27</v>
      </c>
      <c r="B29" t="s">
        <v>101</v>
      </c>
      <c r="C29" t="s">
        <v>90</v>
      </c>
      <c r="D29" t="str">
        <f t="shared" si="0"/>
        <v>LN_Mesenteric</v>
      </c>
      <c r="E29" t="str">
        <f t="shared" si="1"/>
        <v>Lymph_Node_Mesenteric</v>
      </c>
      <c r="F29" t="str">
        <f t="shared" si="2"/>
        <v>Lymph_Node_Mesenteric</v>
      </c>
      <c r="G29">
        <v>28</v>
      </c>
    </row>
    <row r="30" spans="1:7" x14ac:dyDescent="0.2">
      <c r="A30" t="s">
        <v>28</v>
      </c>
      <c r="B30" t="s">
        <v>101</v>
      </c>
      <c r="C30" t="s">
        <v>91</v>
      </c>
      <c r="D30" t="str">
        <f t="shared" si="0"/>
        <v>LN_Parotid</v>
      </c>
      <c r="E30" t="str">
        <f t="shared" si="1"/>
        <v>Lymph_Node_Parotid</v>
      </c>
      <c r="F30" t="str">
        <f t="shared" si="2"/>
        <v>Lymph_Node_Parotid</v>
      </c>
      <c r="G30">
        <v>29</v>
      </c>
    </row>
    <row r="31" spans="1:7" x14ac:dyDescent="0.2">
      <c r="A31" t="s">
        <v>29</v>
      </c>
      <c r="B31" t="s">
        <v>101</v>
      </c>
      <c r="C31" t="s">
        <v>92</v>
      </c>
      <c r="D31" t="str">
        <f t="shared" si="0"/>
        <v>LN_Popliteal</v>
      </c>
      <c r="E31" t="str">
        <f t="shared" si="1"/>
        <v>Lymph_Node_Popliteal</v>
      </c>
      <c r="F31" t="str">
        <f t="shared" si="2"/>
        <v>Lymph_Node_Popliteal</v>
      </c>
      <c r="G31">
        <v>30</v>
      </c>
    </row>
    <row r="32" spans="1:7" x14ac:dyDescent="0.2">
      <c r="A32" t="s">
        <v>30</v>
      </c>
      <c r="B32" t="s">
        <v>101</v>
      </c>
      <c r="C32" t="s">
        <v>93</v>
      </c>
      <c r="D32" t="str">
        <f t="shared" si="0"/>
        <v>LN_Retropharyngeal</v>
      </c>
      <c r="E32" t="str">
        <f t="shared" si="1"/>
        <v>Lymph_Node_Retropharyngeal</v>
      </c>
      <c r="F32" t="str">
        <f t="shared" si="2"/>
        <v>Lymph_Node_Retropharyngeal</v>
      </c>
      <c r="G32">
        <v>31</v>
      </c>
    </row>
    <row r="33" spans="1:7" x14ac:dyDescent="0.2">
      <c r="A33" t="s">
        <v>31</v>
      </c>
      <c r="B33" t="s">
        <v>101</v>
      </c>
      <c r="C33" t="s">
        <v>94</v>
      </c>
      <c r="D33" t="str">
        <f t="shared" si="0"/>
        <v>LN_Supramammary</v>
      </c>
      <c r="E33" t="str">
        <f t="shared" si="1"/>
        <v>Lymph_Node_Supramammary</v>
      </c>
      <c r="F33" t="str">
        <f t="shared" si="2"/>
        <v>Lymph_Node_Supramammary</v>
      </c>
      <c r="G33">
        <v>32</v>
      </c>
    </row>
    <row r="34" spans="1:7" x14ac:dyDescent="0.2">
      <c r="A34" t="s">
        <v>32</v>
      </c>
      <c r="B34" t="s">
        <v>101</v>
      </c>
      <c r="C34" t="s">
        <v>95</v>
      </c>
      <c r="D34" t="str">
        <f t="shared" si="0"/>
        <v>LN_Tracheobronchial</v>
      </c>
      <c r="E34" t="str">
        <f t="shared" si="1"/>
        <v>Lymph_Node_Tracheobronchial</v>
      </c>
      <c r="F34" t="str">
        <f t="shared" si="2"/>
        <v>Lymph_Node_Tracheobronchial</v>
      </c>
      <c r="G34">
        <v>33</v>
      </c>
    </row>
    <row r="35" spans="1:7" x14ac:dyDescent="0.2">
      <c r="A35" t="s">
        <v>33</v>
      </c>
      <c r="B35" t="s">
        <v>101</v>
      </c>
      <c r="D35" t="str">
        <f t="shared" si="0"/>
        <v>Lung_Accessory_lobe</v>
      </c>
      <c r="E35" t="str">
        <f t="shared" si="1"/>
        <v/>
      </c>
      <c r="F35" t="str">
        <f t="shared" si="2"/>
        <v>Lung_Accessory_lobe</v>
      </c>
      <c r="G35">
        <v>34</v>
      </c>
    </row>
    <row r="36" spans="1:7" x14ac:dyDescent="0.2">
      <c r="A36" t="s">
        <v>34</v>
      </c>
      <c r="B36" t="s">
        <v>101</v>
      </c>
      <c r="D36" t="str">
        <f t="shared" si="0"/>
        <v>Lung_Caudal_left_lobe</v>
      </c>
      <c r="E36" t="str">
        <f t="shared" si="1"/>
        <v/>
      </c>
      <c r="F36" t="str">
        <f t="shared" si="2"/>
        <v>Lung_Caudal_left_lobe</v>
      </c>
      <c r="G36">
        <v>35</v>
      </c>
    </row>
    <row r="37" spans="1:7" x14ac:dyDescent="0.2">
      <c r="A37" t="s">
        <v>35</v>
      </c>
      <c r="B37" t="s">
        <v>101</v>
      </c>
      <c r="D37" t="str">
        <f t="shared" si="0"/>
        <v>Lung_Caudal_part_left_cranial_lobe</v>
      </c>
      <c r="E37" t="str">
        <f t="shared" si="1"/>
        <v/>
      </c>
      <c r="F37" t="str">
        <f t="shared" si="2"/>
        <v>Lung_Caudal_part_left_cranial_lobe</v>
      </c>
      <c r="G37">
        <v>36</v>
      </c>
    </row>
    <row r="38" spans="1:7" x14ac:dyDescent="0.2">
      <c r="A38" t="s">
        <v>36</v>
      </c>
      <c r="B38" t="s">
        <v>101</v>
      </c>
      <c r="D38" t="str">
        <f t="shared" si="0"/>
        <v>Lung_Caudal_part_right_cranial_lobe</v>
      </c>
      <c r="E38" t="str">
        <f t="shared" si="1"/>
        <v/>
      </c>
      <c r="F38" t="str">
        <f t="shared" si="2"/>
        <v>Lung_Caudal_part_right_cranial_lobe</v>
      </c>
      <c r="G38">
        <v>37</v>
      </c>
    </row>
    <row r="39" spans="1:7" x14ac:dyDescent="0.2">
      <c r="A39" t="s">
        <v>37</v>
      </c>
      <c r="B39" t="s">
        <v>101</v>
      </c>
      <c r="D39" t="str">
        <f t="shared" si="0"/>
        <v>Lung_Caudal_right_lobe</v>
      </c>
      <c r="E39" t="str">
        <f t="shared" si="1"/>
        <v/>
      </c>
      <c r="F39" t="str">
        <f t="shared" si="2"/>
        <v>Lung_Caudal_right_lobe</v>
      </c>
      <c r="G39">
        <v>38</v>
      </c>
    </row>
    <row r="40" spans="1:7" x14ac:dyDescent="0.2">
      <c r="A40" t="s">
        <v>38</v>
      </c>
      <c r="B40" t="s">
        <v>101</v>
      </c>
      <c r="D40" t="str">
        <f t="shared" si="0"/>
        <v>Lung_Cranial_part_left_cranial_lobe</v>
      </c>
      <c r="E40" t="str">
        <f t="shared" si="1"/>
        <v/>
      </c>
      <c r="F40" t="str">
        <f t="shared" si="2"/>
        <v>Lung_Cranial_part_left_cranial_lobe</v>
      </c>
      <c r="G40">
        <v>39</v>
      </c>
    </row>
    <row r="41" spans="1:7" x14ac:dyDescent="0.2">
      <c r="A41" t="s">
        <v>39</v>
      </c>
      <c r="B41" t="s">
        <v>101</v>
      </c>
      <c r="D41" t="str">
        <f t="shared" si="0"/>
        <v>Lung_Cranial_part_right_cranial_lobe</v>
      </c>
      <c r="E41" t="str">
        <f t="shared" si="1"/>
        <v/>
      </c>
      <c r="F41" t="str">
        <f t="shared" si="2"/>
        <v>Lung_Cranial_part_right_cranial_lobe</v>
      </c>
      <c r="G41">
        <v>40</v>
      </c>
    </row>
    <row r="42" spans="1:7" x14ac:dyDescent="0.2">
      <c r="A42" t="s">
        <v>40</v>
      </c>
      <c r="B42" t="s">
        <v>101</v>
      </c>
      <c r="D42" t="str">
        <f t="shared" si="0"/>
        <v>Lung_Middle_lobe</v>
      </c>
      <c r="E42" t="str">
        <f t="shared" si="1"/>
        <v/>
      </c>
      <c r="F42" t="str">
        <f t="shared" si="2"/>
        <v>Lung_Middle_lobe</v>
      </c>
      <c r="G42">
        <v>41</v>
      </c>
    </row>
    <row r="43" spans="1:7" x14ac:dyDescent="0.2">
      <c r="A43" t="s">
        <v>41</v>
      </c>
      <c r="B43" t="s">
        <v>101</v>
      </c>
      <c r="D43" t="str">
        <f t="shared" si="0"/>
        <v>Mammary_Left_front</v>
      </c>
      <c r="E43" t="str">
        <f t="shared" si="1"/>
        <v/>
      </c>
      <c r="F43" t="str">
        <f t="shared" si="2"/>
        <v>Mammary_Left_front</v>
      </c>
      <c r="G43">
        <v>42</v>
      </c>
    </row>
    <row r="44" spans="1:7" x14ac:dyDescent="0.2">
      <c r="A44" t="s">
        <v>42</v>
      </c>
      <c r="B44" t="s">
        <v>101</v>
      </c>
      <c r="D44" t="str">
        <f t="shared" si="0"/>
        <v>Mammary_Left_rear</v>
      </c>
      <c r="E44" t="str">
        <f t="shared" si="1"/>
        <v/>
      </c>
      <c r="F44" t="str">
        <f t="shared" si="2"/>
        <v>Mammary_Left_rear</v>
      </c>
      <c r="G44">
        <v>43</v>
      </c>
    </row>
    <row r="45" spans="1:7" x14ac:dyDescent="0.2">
      <c r="A45" t="s">
        <v>43</v>
      </c>
      <c r="B45" t="s">
        <v>101</v>
      </c>
      <c r="D45" t="str">
        <f t="shared" si="0"/>
        <v>Mammary_Right_front</v>
      </c>
      <c r="E45" t="str">
        <f t="shared" si="1"/>
        <v/>
      </c>
      <c r="F45" t="str">
        <f t="shared" si="2"/>
        <v>Mammary_Right_front</v>
      </c>
      <c r="G45">
        <v>44</v>
      </c>
    </row>
    <row r="46" spans="1:7" x14ac:dyDescent="0.2">
      <c r="A46" t="s">
        <v>44</v>
      </c>
      <c r="B46" t="s">
        <v>101</v>
      </c>
      <c r="D46" t="str">
        <f t="shared" si="0"/>
        <v>Mammary_Right_rear</v>
      </c>
      <c r="E46" t="str">
        <f t="shared" si="1"/>
        <v/>
      </c>
      <c r="F46" t="str">
        <f t="shared" si="2"/>
        <v>Mammary_Right_rear</v>
      </c>
      <c r="G46">
        <v>45</v>
      </c>
    </row>
    <row r="47" spans="1:7" x14ac:dyDescent="0.2">
      <c r="A47" t="s">
        <v>45</v>
      </c>
      <c r="B47" t="s">
        <v>104</v>
      </c>
      <c r="D47" t="str">
        <f t="shared" si="0"/>
        <v>Milk_Bucket</v>
      </c>
      <c r="E47" t="str">
        <f t="shared" si="1"/>
        <v/>
      </c>
      <c r="F47" t="str">
        <f t="shared" si="2"/>
        <v>Milk_Bucket</v>
      </c>
      <c r="G47">
        <v>46</v>
      </c>
    </row>
    <row r="48" spans="1:7" x14ac:dyDescent="0.2">
      <c r="A48" t="s">
        <v>46</v>
      </c>
      <c r="B48" t="s">
        <v>104</v>
      </c>
      <c r="C48" t="s">
        <v>108</v>
      </c>
      <c r="D48" t="str">
        <f t="shared" si="0"/>
        <v>Milk_FL</v>
      </c>
      <c r="E48" t="str">
        <f t="shared" si="1"/>
        <v>Milk_Front_Left_Teat</v>
      </c>
      <c r="F48" t="str">
        <f t="shared" si="2"/>
        <v>Milk_Front_Left_Teat</v>
      </c>
      <c r="G48">
        <v>47</v>
      </c>
    </row>
    <row r="49" spans="1:7" x14ac:dyDescent="0.2">
      <c r="A49" t="s">
        <v>47</v>
      </c>
      <c r="B49" t="s">
        <v>104</v>
      </c>
      <c r="C49" t="s">
        <v>109</v>
      </c>
      <c r="D49" t="str">
        <f t="shared" si="0"/>
        <v>Milk_FR</v>
      </c>
      <c r="E49" t="str">
        <f t="shared" si="1"/>
        <v>Milk_Front_Right_Teat</v>
      </c>
      <c r="F49" t="str">
        <f t="shared" si="2"/>
        <v>Milk_Front_Right_Teat</v>
      </c>
      <c r="G49">
        <v>48</v>
      </c>
    </row>
    <row r="50" spans="1:7" x14ac:dyDescent="0.2">
      <c r="A50" t="s">
        <v>48</v>
      </c>
      <c r="B50" t="s">
        <v>104</v>
      </c>
      <c r="C50" t="s">
        <v>110</v>
      </c>
      <c r="D50" t="str">
        <f t="shared" si="0"/>
        <v>Milk_RL</v>
      </c>
      <c r="E50" t="str">
        <f t="shared" si="1"/>
        <v>Milk_Rear_Left_Teat</v>
      </c>
      <c r="F50" t="str">
        <f t="shared" si="2"/>
        <v>Milk_Rear_Left_Teat</v>
      </c>
      <c r="G50">
        <v>49</v>
      </c>
    </row>
    <row r="51" spans="1:7" x14ac:dyDescent="0.2">
      <c r="A51" t="s">
        <v>49</v>
      </c>
      <c r="B51" t="s">
        <v>104</v>
      </c>
      <c r="C51" t="s">
        <v>111</v>
      </c>
      <c r="D51" t="str">
        <f t="shared" si="0"/>
        <v>Milk_RR</v>
      </c>
      <c r="E51" t="str">
        <f t="shared" si="1"/>
        <v>Milk_Rear_Right_Teat</v>
      </c>
      <c r="F51" t="str">
        <f t="shared" si="2"/>
        <v>Milk_Rear_Right_Teat</v>
      </c>
      <c r="G51">
        <v>50</v>
      </c>
    </row>
    <row r="52" spans="1:7" x14ac:dyDescent="0.2">
      <c r="A52" t="s">
        <v>50</v>
      </c>
      <c r="B52" t="s">
        <v>101</v>
      </c>
      <c r="C52" t="s">
        <v>96</v>
      </c>
      <c r="D52" t="str">
        <f t="shared" si="0"/>
        <v>MTM</v>
      </c>
      <c r="E52" t="str">
        <f t="shared" si="1"/>
        <v>Molecular_Transport_Medium</v>
      </c>
      <c r="F52" t="str">
        <f t="shared" si="2"/>
        <v>Molecular_Transport_Medium</v>
      </c>
      <c r="G52">
        <v>51</v>
      </c>
    </row>
    <row r="53" spans="1:7" x14ac:dyDescent="0.2">
      <c r="A53" t="s">
        <v>51</v>
      </c>
      <c r="B53" t="s">
        <v>101</v>
      </c>
      <c r="D53" t="str">
        <f t="shared" si="0"/>
        <v>Nasal_Swab</v>
      </c>
      <c r="E53" t="str">
        <f t="shared" si="1"/>
        <v/>
      </c>
      <c r="F53" t="str">
        <f t="shared" si="2"/>
        <v>Nasal_Swab</v>
      </c>
      <c r="G53">
        <v>52</v>
      </c>
    </row>
    <row r="54" spans="1:7" x14ac:dyDescent="0.2">
      <c r="A54" t="s">
        <v>52</v>
      </c>
      <c r="B54" t="s">
        <v>102</v>
      </c>
      <c r="C54" t="s">
        <v>51</v>
      </c>
      <c r="D54" t="str">
        <f t="shared" si="0"/>
        <v>NS</v>
      </c>
      <c r="E54" t="str">
        <f t="shared" si="1"/>
        <v>Nasal_Swab</v>
      </c>
      <c r="F54" t="str">
        <f t="shared" si="2"/>
        <v>Nasal_Swab</v>
      </c>
      <c r="G54">
        <v>53</v>
      </c>
    </row>
    <row r="55" spans="1:7" x14ac:dyDescent="0.2">
      <c r="A55" t="s">
        <v>53</v>
      </c>
      <c r="B55" t="s">
        <v>102</v>
      </c>
      <c r="C55" t="s">
        <v>97</v>
      </c>
      <c r="D55" t="str">
        <f t="shared" si="0"/>
        <v>NSd</v>
      </c>
      <c r="E55" t="str">
        <f t="shared" si="1"/>
        <v>Nasal_Discharge</v>
      </c>
      <c r="F55" t="str">
        <f t="shared" si="2"/>
        <v>Nasal_Discharge</v>
      </c>
      <c r="G55">
        <v>54</v>
      </c>
    </row>
    <row r="56" spans="1:7" x14ac:dyDescent="0.2">
      <c r="A56" t="s">
        <v>54</v>
      </c>
      <c r="B56" t="s">
        <v>101</v>
      </c>
      <c r="D56" t="str">
        <f t="shared" si="0"/>
        <v>Ocular_fluid_aqueous</v>
      </c>
      <c r="E56" t="str">
        <f t="shared" si="1"/>
        <v/>
      </c>
      <c r="F56" t="str">
        <f t="shared" si="2"/>
        <v>Ocular_fluid_aqueous</v>
      </c>
      <c r="G56">
        <v>55</v>
      </c>
    </row>
    <row r="57" spans="1:7" x14ac:dyDescent="0.2">
      <c r="A57" t="s">
        <v>55</v>
      </c>
      <c r="B57" t="s">
        <v>101</v>
      </c>
      <c r="D57" t="str">
        <f t="shared" si="0"/>
        <v>Ocular_fluid_vitreous</v>
      </c>
      <c r="E57" t="str">
        <f t="shared" si="1"/>
        <v/>
      </c>
      <c r="F57" t="str">
        <f t="shared" si="2"/>
        <v>Ocular_fluid_vitreous</v>
      </c>
      <c r="G57">
        <v>56</v>
      </c>
    </row>
    <row r="58" spans="1:7" x14ac:dyDescent="0.2">
      <c r="A58" t="s">
        <v>56</v>
      </c>
      <c r="B58" t="s">
        <v>101</v>
      </c>
      <c r="D58" t="str">
        <f t="shared" si="0"/>
        <v>Ocular_swab</v>
      </c>
      <c r="E58" t="str">
        <f t="shared" si="1"/>
        <v/>
      </c>
      <c r="F58" t="str">
        <f t="shared" si="2"/>
        <v>Ocular_swab</v>
      </c>
      <c r="G58">
        <v>57</v>
      </c>
    </row>
    <row r="59" spans="1:7" x14ac:dyDescent="0.2">
      <c r="A59" t="s">
        <v>57</v>
      </c>
      <c r="B59" t="s">
        <v>101</v>
      </c>
      <c r="D59" t="str">
        <f t="shared" si="0"/>
        <v>Omasum</v>
      </c>
      <c r="E59" t="str">
        <f t="shared" si="1"/>
        <v/>
      </c>
      <c r="F59" t="str">
        <f t="shared" si="2"/>
        <v>Omasum</v>
      </c>
      <c r="G59">
        <v>58</v>
      </c>
    </row>
    <row r="60" spans="1:7" x14ac:dyDescent="0.2">
      <c r="A60" t="s">
        <v>58</v>
      </c>
      <c r="B60" t="s">
        <v>102</v>
      </c>
      <c r="C60" t="s">
        <v>98</v>
      </c>
      <c r="D60" t="str">
        <f t="shared" si="0"/>
        <v>OPS</v>
      </c>
      <c r="E60" t="str">
        <f t="shared" si="1"/>
        <v>Oropharyngeal_swab_cotton</v>
      </c>
      <c r="F60" t="str">
        <f t="shared" si="2"/>
        <v>Oropharyngeal_swab_cotton</v>
      </c>
      <c r="G60">
        <v>59</v>
      </c>
    </row>
    <row r="61" spans="1:7" x14ac:dyDescent="0.2">
      <c r="A61" t="s">
        <v>59</v>
      </c>
      <c r="B61" t="s">
        <v>101</v>
      </c>
      <c r="C61" t="s">
        <v>99</v>
      </c>
      <c r="D61" t="str">
        <f t="shared" si="0"/>
        <v>OPS_Swab</v>
      </c>
      <c r="E61" t="str">
        <f t="shared" si="1"/>
        <v>Oropharyngeal_swab</v>
      </c>
      <c r="F61" t="str">
        <f t="shared" si="2"/>
        <v>Oropharyngeal_swab</v>
      </c>
      <c r="G61">
        <v>60</v>
      </c>
    </row>
    <row r="62" spans="1:7" x14ac:dyDescent="0.2">
      <c r="A62" t="s">
        <v>60</v>
      </c>
      <c r="B62" t="s">
        <v>102</v>
      </c>
      <c r="C62" t="s">
        <v>100</v>
      </c>
      <c r="D62" t="str">
        <f t="shared" si="0"/>
        <v>OPSf</v>
      </c>
      <c r="E62" t="str">
        <f t="shared" si="1"/>
        <v>Oropharyngeal_swab_FLOQ</v>
      </c>
      <c r="F62" t="str">
        <f t="shared" si="2"/>
        <v>Oropharyngeal_swab_FLOQ</v>
      </c>
      <c r="G62">
        <v>61</v>
      </c>
    </row>
    <row r="63" spans="1:7" x14ac:dyDescent="0.2">
      <c r="A63" t="s">
        <v>61</v>
      </c>
      <c r="B63" t="s">
        <v>102</v>
      </c>
      <c r="C63" t="s">
        <v>56</v>
      </c>
      <c r="D63" t="str">
        <f t="shared" si="0"/>
        <v>OS</v>
      </c>
      <c r="E63" t="str">
        <f t="shared" si="1"/>
        <v>Ocular_swab</v>
      </c>
      <c r="F63" t="str">
        <f t="shared" si="2"/>
        <v>Ocular_swab</v>
      </c>
      <c r="G63">
        <v>62</v>
      </c>
    </row>
    <row r="64" spans="1:7" x14ac:dyDescent="0.2">
      <c r="A64" t="s">
        <v>62</v>
      </c>
      <c r="B64" t="s">
        <v>101</v>
      </c>
      <c r="D64" t="str">
        <f t="shared" si="0"/>
        <v>Pancreas</v>
      </c>
      <c r="E64" t="str">
        <f t="shared" si="1"/>
        <v/>
      </c>
      <c r="F64" t="str">
        <f t="shared" si="2"/>
        <v>Pancreas</v>
      </c>
      <c r="G64">
        <v>63</v>
      </c>
    </row>
    <row r="65" spans="1:7" x14ac:dyDescent="0.2">
      <c r="A65" t="s">
        <v>63</v>
      </c>
      <c r="B65" t="s">
        <v>105</v>
      </c>
      <c r="D65" t="str">
        <f t="shared" si="0"/>
        <v>Post-Decon_Bucket</v>
      </c>
      <c r="E65" t="str">
        <f t="shared" si="1"/>
        <v/>
      </c>
      <c r="F65" t="str">
        <f t="shared" si="2"/>
        <v>Post-Decon_Bucket</v>
      </c>
      <c r="G65">
        <v>64</v>
      </c>
    </row>
    <row r="66" spans="1:7" x14ac:dyDescent="0.2">
      <c r="A66" t="s">
        <v>64</v>
      </c>
      <c r="B66" t="s">
        <v>105</v>
      </c>
      <c r="D66" t="str">
        <f t="shared" si="0"/>
        <v>Post-Decon_Claw</v>
      </c>
      <c r="E66" t="str">
        <f t="shared" si="1"/>
        <v/>
      </c>
      <c r="F66" t="str">
        <f t="shared" si="2"/>
        <v>Post-Decon_Claw</v>
      </c>
      <c r="G66">
        <v>65</v>
      </c>
    </row>
    <row r="67" spans="1:7" x14ac:dyDescent="0.2">
      <c r="A67" t="s">
        <v>65</v>
      </c>
      <c r="B67" t="s">
        <v>105</v>
      </c>
      <c r="D67" t="str">
        <f t="shared" ref="D67:D85" si="3">SUBSTITUTE(A67," ","_")</f>
        <v>Pre-Decon_Bucket</v>
      </c>
      <c r="E67" t="str">
        <f t="shared" ref="E67:E85" si="4">SUBSTITUTE(C67," ","_")</f>
        <v/>
      </c>
      <c r="F67" t="str">
        <f t="shared" ref="F67:F85" si="5">IF(E67&lt;&gt;"",E67,D67)</f>
        <v>Pre-Decon_Bucket</v>
      </c>
      <c r="G67">
        <v>66</v>
      </c>
    </row>
    <row r="68" spans="1:7" x14ac:dyDescent="0.2">
      <c r="A68" t="s">
        <v>66</v>
      </c>
      <c r="B68" t="s">
        <v>105</v>
      </c>
      <c r="D68" t="str">
        <f t="shared" si="3"/>
        <v>Pre-Decon_Claw</v>
      </c>
      <c r="E68" t="str">
        <f t="shared" si="4"/>
        <v/>
      </c>
      <c r="F68" t="str">
        <f t="shared" si="5"/>
        <v>Pre-Decon_Claw</v>
      </c>
      <c r="G68">
        <v>67</v>
      </c>
    </row>
    <row r="69" spans="1:7" x14ac:dyDescent="0.2">
      <c r="A69" t="s">
        <v>67</v>
      </c>
      <c r="B69" t="s">
        <v>101</v>
      </c>
      <c r="D69" t="str">
        <f t="shared" si="3"/>
        <v>Reticulum</v>
      </c>
      <c r="E69" t="str">
        <f t="shared" si="4"/>
        <v/>
      </c>
      <c r="F69" t="str">
        <f t="shared" si="5"/>
        <v>Reticulum</v>
      </c>
      <c r="G69">
        <v>68</v>
      </c>
    </row>
    <row r="70" spans="1:7" x14ac:dyDescent="0.2">
      <c r="A70" t="s">
        <v>68</v>
      </c>
      <c r="B70" t="s">
        <v>101</v>
      </c>
      <c r="D70" t="str">
        <f t="shared" si="3"/>
        <v>Right_front_milk_fresh</v>
      </c>
      <c r="E70" t="str">
        <f t="shared" si="4"/>
        <v/>
      </c>
      <c r="F70" t="str">
        <f t="shared" si="5"/>
        <v>Right_front_milk_fresh</v>
      </c>
      <c r="G70">
        <v>69</v>
      </c>
    </row>
    <row r="71" spans="1:7" x14ac:dyDescent="0.2">
      <c r="A71" t="s">
        <v>68</v>
      </c>
      <c r="B71" t="s">
        <v>101</v>
      </c>
      <c r="D71" t="str">
        <f t="shared" si="3"/>
        <v>Right_front_milk_fresh</v>
      </c>
      <c r="E71" t="str">
        <f t="shared" si="4"/>
        <v/>
      </c>
      <c r="F71" t="str">
        <f t="shared" si="5"/>
        <v>Right_front_milk_fresh</v>
      </c>
      <c r="G71">
        <v>70</v>
      </c>
    </row>
    <row r="72" spans="1:7" x14ac:dyDescent="0.2">
      <c r="A72" t="s">
        <v>69</v>
      </c>
      <c r="B72" t="s">
        <v>101</v>
      </c>
      <c r="D72" t="str">
        <f t="shared" si="3"/>
        <v>Right_rear_milk_fresh</v>
      </c>
      <c r="E72" t="str">
        <f t="shared" si="4"/>
        <v/>
      </c>
      <c r="F72" t="str">
        <f t="shared" si="5"/>
        <v>Right_rear_milk_fresh</v>
      </c>
      <c r="G72">
        <v>71</v>
      </c>
    </row>
    <row r="73" spans="1:7" x14ac:dyDescent="0.2">
      <c r="A73" t="s">
        <v>70</v>
      </c>
      <c r="B73" t="s">
        <v>101</v>
      </c>
      <c r="D73" t="str">
        <f t="shared" si="3"/>
        <v>Rumen</v>
      </c>
      <c r="E73" t="str">
        <f t="shared" si="4"/>
        <v/>
      </c>
      <c r="F73" t="str">
        <f t="shared" si="5"/>
        <v>Rumen</v>
      </c>
      <c r="G73">
        <v>72</v>
      </c>
    </row>
    <row r="74" spans="1:7" x14ac:dyDescent="0.2">
      <c r="A74" t="s">
        <v>71</v>
      </c>
      <c r="B74" t="s">
        <v>101</v>
      </c>
      <c r="D74" t="str">
        <f t="shared" si="3"/>
        <v>Rumen_content</v>
      </c>
      <c r="E74" t="str">
        <f t="shared" si="4"/>
        <v/>
      </c>
      <c r="F74" t="str">
        <f t="shared" si="5"/>
        <v>Rumen_content</v>
      </c>
      <c r="G74">
        <v>73</v>
      </c>
    </row>
    <row r="75" spans="1:7" x14ac:dyDescent="0.2">
      <c r="A75" t="s">
        <v>72</v>
      </c>
      <c r="B75" t="s">
        <v>101</v>
      </c>
      <c r="C75" t="s">
        <v>106</v>
      </c>
      <c r="D75" t="str">
        <f t="shared" si="3"/>
        <v>Rump_(gluteus_medius;_minimus,_biceps_femoris)</v>
      </c>
      <c r="E75" t="str">
        <f t="shared" si="4"/>
        <v>Rump</v>
      </c>
      <c r="F75" t="str">
        <f t="shared" si="5"/>
        <v>Rump</v>
      </c>
      <c r="G75">
        <v>74</v>
      </c>
    </row>
    <row r="76" spans="1:7" x14ac:dyDescent="0.2">
      <c r="A76" t="s">
        <v>73</v>
      </c>
      <c r="B76" t="s">
        <v>102</v>
      </c>
      <c r="D76" t="str">
        <f t="shared" si="3"/>
        <v>Saliva</v>
      </c>
      <c r="E76" t="str">
        <f t="shared" si="4"/>
        <v/>
      </c>
      <c r="F76" t="str">
        <f t="shared" si="5"/>
        <v>Saliva</v>
      </c>
      <c r="G76">
        <v>75</v>
      </c>
    </row>
    <row r="77" spans="1:7" x14ac:dyDescent="0.2">
      <c r="A77" t="s">
        <v>74</v>
      </c>
      <c r="B77" t="s">
        <v>101</v>
      </c>
      <c r="D77" t="str">
        <f t="shared" si="3"/>
        <v>Spiral_colon</v>
      </c>
      <c r="E77" t="str">
        <f t="shared" si="4"/>
        <v/>
      </c>
      <c r="F77" t="str">
        <f t="shared" si="5"/>
        <v>Spiral_colon</v>
      </c>
      <c r="G77">
        <v>76</v>
      </c>
    </row>
    <row r="78" spans="1:7" x14ac:dyDescent="0.2">
      <c r="A78" t="s">
        <v>75</v>
      </c>
      <c r="B78" t="s">
        <v>101</v>
      </c>
      <c r="D78" t="str">
        <f t="shared" si="3"/>
        <v>Spleen</v>
      </c>
      <c r="E78" t="str">
        <f t="shared" si="4"/>
        <v/>
      </c>
      <c r="F78" t="str">
        <f t="shared" si="5"/>
        <v>Spleen</v>
      </c>
      <c r="G78">
        <v>77</v>
      </c>
    </row>
    <row r="79" spans="1:7" x14ac:dyDescent="0.2">
      <c r="A79" t="s">
        <v>76</v>
      </c>
      <c r="B79" t="s">
        <v>101</v>
      </c>
      <c r="C79" t="s">
        <v>107</v>
      </c>
      <c r="D79" t="str">
        <f t="shared" si="3"/>
        <v>Tenderloin_(psoas_major)</v>
      </c>
      <c r="E79" t="str">
        <f t="shared" si="4"/>
        <v>Psoas_major</v>
      </c>
      <c r="F79" t="str">
        <f t="shared" si="5"/>
        <v>Psoas_major</v>
      </c>
      <c r="G79">
        <v>78</v>
      </c>
    </row>
    <row r="80" spans="1:7" x14ac:dyDescent="0.2">
      <c r="A80" t="s">
        <v>77</v>
      </c>
      <c r="B80" t="s">
        <v>101</v>
      </c>
      <c r="D80" t="str">
        <f t="shared" si="3"/>
        <v>Thymus</v>
      </c>
      <c r="E80" t="str">
        <f t="shared" si="4"/>
        <v/>
      </c>
      <c r="F80" t="str">
        <f t="shared" si="5"/>
        <v>Thymus</v>
      </c>
      <c r="G80">
        <v>79</v>
      </c>
    </row>
    <row r="81" spans="1:7" x14ac:dyDescent="0.2">
      <c r="A81" t="s">
        <v>78</v>
      </c>
      <c r="B81" t="s">
        <v>101</v>
      </c>
      <c r="D81" t="str">
        <f t="shared" si="3"/>
        <v>Trachea</v>
      </c>
      <c r="E81" t="str">
        <f t="shared" si="4"/>
        <v/>
      </c>
      <c r="F81" t="str">
        <f t="shared" si="5"/>
        <v>Trachea</v>
      </c>
      <c r="G81">
        <v>80</v>
      </c>
    </row>
    <row r="82" spans="1:7" x14ac:dyDescent="0.2">
      <c r="A82" t="s">
        <v>79</v>
      </c>
      <c r="B82" t="s">
        <v>101</v>
      </c>
      <c r="D82" t="str">
        <f t="shared" si="3"/>
        <v>Tracheal_swab</v>
      </c>
      <c r="E82" t="str">
        <f t="shared" si="4"/>
        <v/>
      </c>
      <c r="F82" t="str">
        <f t="shared" si="5"/>
        <v>Tracheal_swab</v>
      </c>
      <c r="G82">
        <v>81</v>
      </c>
    </row>
    <row r="83" spans="1:7" x14ac:dyDescent="0.2">
      <c r="A83" t="s">
        <v>80</v>
      </c>
      <c r="B83" t="s">
        <v>101</v>
      </c>
      <c r="D83" t="str">
        <f t="shared" si="3"/>
        <v>Turbinate</v>
      </c>
      <c r="E83" t="str">
        <f t="shared" si="4"/>
        <v/>
      </c>
      <c r="F83" t="str">
        <f t="shared" si="5"/>
        <v>Turbinate</v>
      </c>
      <c r="G83">
        <v>82</v>
      </c>
    </row>
    <row r="84" spans="1:7" x14ac:dyDescent="0.2">
      <c r="A84" t="s">
        <v>81</v>
      </c>
      <c r="B84" t="s">
        <v>101</v>
      </c>
      <c r="D84" t="str">
        <f t="shared" si="3"/>
        <v>Urine</v>
      </c>
      <c r="E84" t="str">
        <f t="shared" si="4"/>
        <v/>
      </c>
      <c r="F84" t="str">
        <f t="shared" si="5"/>
        <v>Urine</v>
      </c>
      <c r="G84">
        <v>83</v>
      </c>
    </row>
    <row r="85" spans="1:7" x14ac:dyDescent="0.2">
      <c r="A85" t="s">
        <v>82</v>
      </c>
      <c r="B85" t="s">
        <v>101</v>
      </c>
      <c r="D85" t="str">
        <f t="shared" si="3"/>
        <v>Water</v>
      </c>
      <c r="E85" t="str">
        <f t="shared" si="4"/>
        <v/>
      </c>
      <c r="F85" t="str">
        <f t="shared" si="5"/>
        <v>Water</v>
      </c>
      <c r="G85">
        <v>84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DeGennaro</dc:creator>
  <cp:lastModifiedBy>Ellen DeGennaro</cp:lastModifiedBy>
  <dcterms:created xsi:type="dcterms:W3CDTF">2025-11-10T18:32:27Z</dcterms:created>
  <dcterms:modified xsi:type="dcterms:W3CDTF">2025-11-10T22:03:06Z</dcterms:modified>
</cp:coreProperties>
</file>